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S_Tech\Downloads\Telegram Desktop\"/>
    </mc:Choice>
  </mc:AlternateContent>
  <xr:revisionPtr revIDLastSave="0" documentId="13_ncr:1_{657E9C50-D7B3-40CC-80AA-4D4FE81F75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correction for june m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  <c r="C20" i="1"/>
  <c r="C17" i="1"/>
</calcChain>
</file>

<file path=xl/sharedStrings.xml><?xml version="1.0" encoding="utf-8"?>
<sst xmlns="http://schemas.openxmlformats.org/spreadsheetml/2006/main" count="164" uniqueCount="121">
  <si>
    <t>NO</t>
  </si>
  <si>
    <t>Full Name</t>
  </si>
  <si>
    <t>Phone No</t>
  </si>
  <si>
    <t xml:space="preserve">Account No </t>
  </si>
  <si>
    <t xml:space="preserve">Possition </t>
  </si>
  <si>
    <t>Basic Salary</t>
  </si>
  <si>
    <t>Termination Dte</t>
  </si>
  <si>
    <t>Sex</t>
  </si>
  <si>
    <t>Birth Day</t>
  </si>
  <si>
    <t>Sub city</t>
  </si>
  <si>
    <t>Wereda</t>
  </si>
  <si>
    <t>H.No</t>
  </si>
  <si>
    <t>Phone Number</t>
  </si>
  <si>
    <t>Educational Backround</t>
  </si>
  <si>
    <t>Employment date</t>
  </si>
  <si>
    <t>Salary</t>
  </si>
  <si>
    <t>Bank Acc NO</t>
  </si>
  <si>
    <t>E.Name</t>
  </si>
  <si>
    <t>E.No</t>
  </si>
  <si>
    <t>Employement Date</t>
  </si>
  <si>
    <t>Program</t>
  </si>
  <si>
    <t>Qualification</t>
  </si>
  <si>
    <t>Date</t>
  </si>
  <si>
    <t>Month</t>
  </si>
  <si>
    <t>Year</t>
  </si>
  <si>
    <t>Bamud Wabe Fogelo</t>
  </si>
  <si>
    <t>Acc 2905810164111</t>
  </si>
  <si>
    <t>Asela Supervisor</t>
  </si>
  <si>
    <t>18/08/2018 E.c</t>
  </si>
  <si>
    <t xml:space="preserve">Tigist Endalkalchewu Yigletu </t>
  </si>
  <si>
    <t>Acc 505866206601</t>
  </si>
  <si>
    <t>Casher</t>
  </si>
  <si>
    <t>Hajitu Edao  Abu</t>
  </si>
  <si>
    <t>Acc 2905810074511</t>
  </si>
  <si>
    <t xml:space="preserve">Adisu Haji Fufa </t>
  </si>
  <si>
    <t>Acc 5058662088011</t>
  </si>
  <si>
    <t>Meron Tadesse Worku</t>
  </si>
  <si>
    <t>Acc 5058786359009</t>
  </si>
  <si>
    <t>Tiknesh Daba Gonfa</t>
  </si>
  <si>
    <t>Acc 505810720311</t>
  </si>
  <si>
    <t>Musliya Ahmed Geleto</t>
  </si>
  <si>
    <t>Acc 2905810155411</t>
  </si>
  <si>
    <t>Adem Mohammed Aliyi</t>
  </si>
  <si>
    <t>Acc 5058662162011</t>
  </si>
  <si>
    <t xml:space="preserve">Abadir Kedir Zira </t>
  </si>
  <si>
    <t>Acc 5058662163011</t>
  </si>
  <si>
    <t>Yohanis Haile Eshete</t>
  </si>
  <si>
    <t>Acc 5058662159011</t>
  </si>
  <si>
    <t>Gigus Belay Tadesse</t>
  </si>
  <si>
    <t>Acc 5187322021001</t>
  </si>
  <si>
    <t>Temam Abiti Gelato</t>
  </si>
  <si>
    <t>Acc 2905810176811</t>
  </si>
  <si>
    <t>Jemal Kadir</t>
  </si>
  <si>
    <t>Acc 2905889383311</t>
  </si>
  <si>
    <t>Bore</t>
  </si>
  <si>
    <t>‎Abdulaziz Abdela Abishu</t>
  </si>
  <si>
    <t>Bore Supervisor and casher</t>
  </si>
  <si>
    <t>10000 pety cash approved</t>
  </si>
  <si>
    <t>M</t>
  </si>
  <si>
    <t xml:space="preserve">Ashenafi Ayele Haro  </t>
  </si>
  <si>
    <t>‎Hatiya Tedas Shiferaw</t>
  </si>
  <si>
    <t>F</t>
  </si>
  <si>
    <t>‎Hoxesa Dube Areri</t>
  </si>
  <si>
    <t>‎Ruut Bareqo shukura</t>
  </si>
  <si>
    <t xml:space="preserve">‎Fiixe Kotola culuqe </t>
  </si>
  <si>
    <t>Temasgen Shito W/Mikael</t>
  </si>
  <si>
    <t>‎Birtukan Birhanu Hamaa</t>
  </si>
  <si>
    <t>Shakiso</t>
  </si>
  <si>
    <t>muhammednur mohammed</t>
  </si>
  <si>
    <t>Acc.2902924416811</t>
  </si>
  <si>
    <t>Shakiso Supervisor and casher</t>
  </si>
  <si>
    <t xml:space="preserve"> Haialeb selemon </t>
  </si>
  <si>
    <t>acc.5049789465005</t>
  </si>
  <si>
    <t>wogeyaho tasfaye</t>
  </si>
  <si>
    <t>.acc.5386101033011</t>
  </si>
  <si>
    <t xml:space="preserve">habtamu girma </t>
  </si>
  <si>
    <t>acc.5360101053011</t>
  </si>
  <si>
    <t xml:space="preserve">Ramzi Berihanu </t>
  </si>
  <si>
    <t>acc.2938644107111</t>
  </si>
  <si>
    <t>Sinedu Ejgayehu</t>
  </si>
  <si>
    <t>Acc  5386422378011</t>
  </si>
  <si>
    <t xml:space="preserve">Derartu Beriso </t>
  </si>
  <si>
    <t>Acc 5386101047011`</t>
  </si>
  <si>
    <t>Nagele Borena</t>
  </si>
  <si>
    <t>Ayano Toshe Jara</t>
  </si>
  <si>
    <t>Acc 2961380962011</t>
  </si>
  <si>
    <t>Nagele Borena Supervisor and Casher</t>
  </si>
  <si>
    <t>11000 pety cash approved</t>
  </si>
  <si>
    <t>Kaliti Dida Arero</t>
  </si>
  <si>
    <t>Acc 2930110156511</t>
  </si>
  <si>
    <t>deki Tato Guyo</t>
  </si>
  <si>
    <t>Acc</t>
  </si>
  <si>
    <t>Sidika Yusuf Ware</t>
  </si>
  <si>
    <t>Acc .2930110170011</t>
  </si>
  <si>
    <t>Gasu Tilahun</t>
  </si>
  <si>
    <t xml:space="preserve">Acc </t>
  </si>
  <si>
    <t>Darmi Dabaso</t>
  </si>
  <si>
    <t xml:space="preserve">Darmi Husien </t>
  </si>
  <si>
    <t>Acc 5301101674011</t>
  </si>
  <si>
    <t xml:space="preserve">Adoolaa wayyu  </t>
  </si>
  <si>
    <t xml:space="preserve">Tilahun Buzneh </t>
  </si>
  <si>
    <t>Acc 013200817650900</t>
  </si>
  <si>
    <t>Adola Wayuu Supervisor and casher</t>
  </si>
  <si>
    <t xml:space="preserve">Werkochew adisu  </t>
  </si>
  <si>
    <t>Acc 5360101111011</t>
  </si>
  <si>
    <t xml:space="preserve">Adane demise </t>
  </si>
  <si>
    <t>Acc 504102117011</t>
  </si>
  <si>
    <t>Kibru bati.</t>
  </si>
  <si>
    <t>Acc 5360101112011</t>
  </si>
  <si>
    <t xml:space="preserve">Birhanu Mulugeta </t>
  </si>
  <si>
    <t>Acc 5360300636011</t>
  </si>
  <si>
    <t xml:space="preserve">Abinet Bekele </t>
  </si>
  <si>
    <t>Acc 5360101159011</t>
  </si>
  <si>
    <t xml:space="preserve">Chaltu Kelela Bilu </t>
  </si>
  <si>
    <t>Harkelo</t>
  </si>
  <si>
    <t>Derartu Boniya Basha</t>
  </si>
  <si>
    <t>Wadara station</t>
  </si>
  <si>
    <t>Teshale Kailta</t>
  </si>
  <si>
    <t xml:space="preserve">Wadara General </t>
  </si>
  <si>
    <t xml:space="preserve">Bidiri station </t>
  </si>
  <si>
    <t>Abdul jelil isak hambella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</si>
</sst>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4" fontId="0" fillId="0" borderId="1" xfId="0" applyNumberFormat="1" applyBorder="1"/>
    <xf numFmtId="14" fontId="3" fillId="5" borderId="1" xfId="0" applyNumberFormat="1" applyFont="1" applyFill="1" applyBorder="1"/>
    <xf numFmtId="0" fontId="0" fillId="4" borderId="0" xfId="0" applyFill="1"/>
    <xf numFmtId="0" fontId="0" fillId="6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0" borderId="3" xfId="0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4" fontId="0" fillId="7" borderId="1" xfId="0" applyNumberFormat="1" applyFill="1" applyBorder="1"/>
    <xf numFmtId="0" fontId="0" fillId="7" borderId="0" xfId="0" applyFill="1"/>
    <xf numFmtId="0" fontId="1" fillId="3" borderId="5" xfId="0" applyFont="1" applyFill="1" applyBorder="1"/>
    <xf numFmtId="0" fontId="1" fillId="3" borderId="6" xfId="0" applyFont="1" applyFill="1" applyBorder="1"/>
    <xf numFmtId="0" fontId="0" fillId="7" borderId="1" xfId="0" applyFill="1" applyBorder="1" applyAlignment="1">
      <alignment wrapText="1"/>
    </xf>
    <xf numFmtId="0" fontId="1" fillId="5" borderId="5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8" borderId="6" xfId="0" applyFill="1" applyBorder="1"/>
    <xf numFmtId="0" fontId="0" fillId="0" borderId="7" xfId="0" applyBorder="1"/>
    <xf numFmtId="0" fontId="0" fillId="0" borderId="6" xfId="0" applyBorder="1"/>
    <xf numFmtId="0" fontId="0" fillId="6" borderId="1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7" borderId="11" xfId="0" applyFill="1" applyBorder="1"/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tabSelected="1" workbookViewId="0">
      <selection activeCell="E19" sqref="E19"/>
    </sheetView>
  </sheetViews>
  <sheetFormatPr defaultRowHeight="15" x14ac:dyDescent="0.25"/>
  <cols>
    <col min="1" max="1" width="7.5703125" customWidth="1"/>
    <col min="2" max="2" width="39" customWidth="1"/>
    <col min="3" max="3" width="20.42578125" customWidth="1"/>
    <col min="4" max="4" width="31.42578125" customWidth="1"/>
    <col min="5" max="5" width="24.42578125" customWidth="1"/>
    <col min="6" max="8" width="24.85546875" customWidth="1"/>
    <col min="9" max="13" width="18.5703125" customWidth="1"/>
    <col min="14" max="14" width="21.85546875" customWidth="1"/>
    <col min="15" max="15" width="11.28515625" customWidth="1"/>
    <col min="16" max="16" width="17.140625" customWidth="1"/>
    <col min="17" max="17" width="8.140625" customWidth="1"/>
    <col min="20" max="20" width="15.140625" customWidth="1"/>
    <col min="21" max="21" width="18.7109375" customWidth="1"/>
    <col min="22" max="22" width="18.28515625" customWidth="1"/>
    <col min="23" max="23" width="19" customWidth="1"/>
  </cols>
  <sheetData>
    <row r="1" spans="1:23" ht="15" customHeight="1" x14ac:dyDescent="0.3">
      <c r="A1" s="51" t="s">
        <v>0</v>
      </c>
      <c r="B1" s="51" t="s">
        <v>1</v>
      </c>
      <c r="C1" s="52" t="s">
        <v>2</v>
      </c>
      <c r="D1" s="51" t="s">
        <v>3</v>
      </c>
      <c r="E1" s="51" t="s">
        <v>4</v>
      </c>
      <c r="F1" s="1"/>
      <c r="G1" s="54" t="s">
        <v>5</v>
      </c>
      <c r="H1" s="1" t="s">
        <v>6</v>
      </c>
      <c r="I1" s="51" t="s">
        <v>7</v>
      </c>
      <c r="J1" s="51" t="s">
        <v>8</v>
      </c>
      <c r="K1" s="51" t="s">
        <v>9</v>
      </c>
      <c r="L1" s="51" t="s">
        <v>10</v>
      </c>
      <c r="M1" s="51" t="s">
        <v>11</v>
      </c>
      <c r="N1" s="51" t="s">
        <v>12</v>
      </c>
      <c r="O1" s="51" t="s">
        <v>13</v>
      </c>
      <c r="P1" s="51"/>
      <c r="Q1" s="2" t="s">
        <v>14</v>
      </c>
      <c r="R1" s="2"/>
      <c r="S1" s="1"/>
      <c r="T1" s="51" t="s">
        <v>15</v>
      </c>
      <c r="U1" s="51" t="s">
        <v>16</v>
      </c>
      <c r="V1" s="51" t="s">
        <v>17</v>
      </c>
      <c r="W1" s="51" t="s">
        <v>18</v>
      </c>
    </row>
    <row r="2" spans="1:23" ht="15" customHeight="1" x14ac:dyDescent="0.3">
      <c r="A2" s="51"/>
      <c r="B2" s="51"/>
      <c r="C2" s="53"/>
      <c r="D2" s="51"/>
      <c r="E2" s="51"/>
      <c r="F2" s="1" t="s">
        <v>19</v>
      </c>
      <c r="G2" s="55"/>
      <c r="H2" s="1"/>
      <c r="I2" s="51"/>
      <c r="J2" s="51"/>
      <c r="K2" s="51"/>
      <c r="L2" s="51"/>
      <c r="M2" s="51"/>
      <c r="N2" s="51"/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51"/>
      <c r="U2" s="51"/>
      <c r="V2" s="51"/>
      <c r="W2" s="51"/>
    </row>
    <row r="3" spans="1:23" s="6" customFormat="1" ht="15.75" customHeight="1" x14ac:dyDescent="0.25">
      <c r="A3" s="3">
        <v>1</v>
      </c>
      <c r="B3" s="4" t="s">
        <v>25</v>
      </c>
      <c r="C3" s="5">
        <v>978889639</v>
      </c>
      <c r="D3" s="4" t="s">
        <v>26</v>
      </c>
      <c r="E3" s="3" t="s">
        <v>27</v>
      </c>
      <c r="F3" s="3" t="s">
        <v>28</v>
      </c>
      <c r="G3" s="3">
        <v>7000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s="6" customFormat="1" ht="15.75" customHeight="1" x14ac:dyDescent="0.25">
      <c r="A4" s="3">
        <v>2</v>
      </c>
      <c r="B4" s="4" t="s">
        <v>29</v>
      </c>
      <c r="C4" s="4">
        <v>939052613</v>
      </c>
      <c r="D4" s="4" t="s">
        <v>30</v>
      </c>
      <c r="E4" s="3" t="s">
        <v>31</v>
      </c>
      <c r="F4" s="3" t="s">
        <v>28</v>
      </c>
      <c r="G4" s="3">
        <v>6000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s="6" customFormat="1" ht="15.75" customHeight="1" x14ac:dyDescent="0.25">
      <c r="A5" s="3">
        <v>3</v>
      </c>
      <c r="B5" s="4" t="s">
        <v>32</v>
      </c>
      <c r="C5" s="4">
        <v>975327574</v>
      </c>
      <c r="D5" s="4" t="s">
        <v>33</v>
      </c>
      <c r="E5" s="3"/>
      <c r="F5" s="3" t="s">
        <v>28</v>
      </c>
      <c r="G5" s="3">
        <v>3500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s="6" customFormat="1" ht="15.75" customHeight="1" x14ac:dyDescent="0.25">
      <c r="A6" s="3">
        <v>4</v>
      </c>
      <c r="B6" s="4" t="s">
        <v>34</v>
      </c>
      <c r="C6" s="4">
        <v>964636574</v>
      </c>
      <c r="D6" s="4" t="s">
        <v>35</v>
      </c>
      <c r="E6" s="3"/>
      <c r="F6" s="3" t="s">
        <v>28</v>
      </c>
      <c r="G6" s="3">
        <v>3500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s="6" customFormat="1" ht="15.75" customHeight="1" x14ac:dyDescent="0.25">
      <c r="A7" s="3">
        <v>5</v>
      </c>
      <c r="B7" s="4" t="s">
        <v>36</v>
      </c>
      <c r="C7" s="4">
        <v>912683979</v>
      </c>
      <c r="D7" s="4" t="s">
        <v>37</v>
      </c>
      <c r="E7" s="3"/>
      <c r="F7" s="3" t="s">
        <v>28</v>
      </c>
      <c r="G7" s="3">
        <v>3500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s="6" customFormat="1" ht="15.75" customHeight="1" x14ac:dyDescent="0.25">
      <c r="A8" s="3">
        <v>6</v>
      </c>
      <c r="B8" s="4" t="s">
        <v>38</v>
      </c>
      <c r="C8" s="4">
        <v>919968635</v>
      </c>
      <c r="D8" s="4" t="s">
        <v>39</v>
      </c>
      <c r="E8" s="3"/>
      <c r="F8" s="3" t="s">
        <v>28</v>
      </c>
      <c r="G8" s="3">
        <v>3500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s="6" customFormat="1" ht="15.75" customHeight="1" x14ac:dyDescent="0.25">
      <c r="A9" s="3">
        <v>7</v>
      </c>
      <c r="B9" s="4" t="s">
        <v>40</v>
      </c>
      <c r="C9" s="4">
        <v>926942321</v>
      </c>
      <c r="D9" s="4" t="s">
        <v>41</v>
      </c>
      <c r="E9" s="3"/>
      <c r="F9" s="3" t="s">
        <v>28</v>
      </c>
      <c r="G9" s="3">
        <v>3500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6" customFormat="1" ht="15.75" customHeight="1" x14ac:dyDescent="0.25">
      <c r="A10" s="3">
        <v>8</v>
      </c>
      <c r="B10" s="4" t="s">
        <v>42</v>
      </c>
      <c r="C10" s="4">
        <v>936522099</v>
      </c>
      <c r="D10" s="4" t="s">
        <v>43</v>
      </c>
      <c r="E10" s="3"/>
      <c r="F10" s="3" t="s">
        <v>28</v>
      </c>
      <c r="G10" s="3">
        <v>3500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6" customFormat="1" ht="15.75" customHeight="1" x14ac:dyDescent="0.25">
      <c r="A11" s="3">
        <v>9</v>
      </c>
      <c r="B11" s="4" t="s">
        <v>44</v>
      </c>
      <c r="C11" s="4">
        <v>926520801</v>
      </c>
      <c r="D11" s="4" t="s">
        <v>45</v>
      </c>
      <c r="E11" s="3"/>
      <c r="F11" s="3" t="s">
        <v>28</v>
      </c>
      <c r="G11" s="3">
        <v>3500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6" customFormat="1" ht="15.75" customHeight="1" x14ac:dyDescent="0.25">
      <c r="A12" s="3">
        <v>10</v>
      </c>
      <c r="B12" s="4" t="s">
        <v>46</v>
      </c>
      <c r="C12" s="4">
        <v>933611557</v>
      </c>
      <c r="D12" s="4" t="s">
        <v>47</v>
      </c>
      <c r="E12" s="3"/>
      <c r="F12" s="3" t="s">
        <v>28</v>
      </c>
      <c r="G12" s="3">
        <v>3500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6" customFormat="1" ht="15.75" customHeight="1" x14ac:dyDescent="0.25">
      <c r="A13" s="3">
        <v>11</v>
      </c>
      <c r="B13" s="4" t="s">
        <v>48</v>
      </c>
      <c r="C13" s="4">
        <v>922390603</v>
      </c>
      <c r="D13" s="4" t="s">
        <v>49</v>
      </c>
      <c r="E13" s="3"/>
      <c r="F13" s="3" t="s">
        <v>28</v>
      </c>
      <c r="G13" s="3">
        <v>3500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6" customFormat="1" ht="15.75" customHeight="1" x14ac:dyDescent="0.25">
      <c r="A14" s="3">
        <v>12</v>
      </c>
      <c r="B14" s="4" t="s">
        <v>50</v>
      </c>
      <c r="C14" s="4">
        <v>914171725</v>
      </c>
      <c r="D14" s="4" t="s">
        <v>51</v>
      </c>
      <c r="E14" s="3"/>
      <c r="F14" s="3" t="s">
        <v>28</v>
      </c>
      <c r="G14" s="3">
        <v>3500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6" customFormat="1" ht="15.75" customHeight="1" x14ac:dyDescent="0.25">
      <c r="A15" s="3">
        <v>13</v>
      </c>
      <c r="B15" s="4" t="s">
        <v>52</v>
      </c>
      <c r="C15" s="3"/>
      <c r="D15" s="4" t="s">
        <v>53</v>
      </c>
      <c r="E15" s="3"/>
      <c r="F15" s="3" t="s">
        <v>28</v>
      </c>
      <c r="G15" s="3">
        <v>7000</v>
      </c>
      <c r="H15" s="7">
        <v>43352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12" customFormat="1" ht="18.75" x14ac:dyDescent="0.3">
      <c r="A16" s="8"/>
      <c r="B16" s="45" t="s">
        <v>54</v>
      </c>
      <c r="C16" s="46"/>
      <c r="D16" s="46"/>
      <c r="E16" s="46"/>
      <c r="F16" s="47"/>
      <c r="G16" s="10"/>
      <c r="H16" s="11"/>
      <c r="I16" s="8"/>
      <c r="J16" s="8"/>
      <c r="K16" s="8"/>
      <c r="L16" s="8"/>
      <c r="M16" s="8"/>
      <c r="N16" s="8">
        <v>9</v>
      </c>
      <c r="O16" s="8"/>
      <c r="P16" s="8"/>
      <c r="Q16" s="8"/>
      <c r="R16" s="8"/>
      <c r="S16" s="8"/>
      <c r="T16" s="8"/>
      <c r="U16" s="8"/>
      <c r="V16" s="8"/>
      <c r="W16" s="8"/>
    </row>
    <row r="17" spans="1:23" s="18" customFormat="1" ht="18.75" x14ac:dyDescent="0.3">
      <c r="A17" s="13">
        <v>1</v>
      </c>
      <c r="B17" s="14" t="s">
        <v>55</v>
      </c>
      <c r="C17" s="15">
        <f>926949206</f>
        <v>926949206</v>
      </c>
      <c r="D17" s="14"/>
      <c r="E17" s="14" t="s">
        <v>56</v>
      </c>
      <c r="F17" s="16">
        <v>43260</v>
      </c>
      <c r="G17" s="1">
        <v>5000</v>
      </c>
      <c r="H17" s="17" t="s">
        <v>57</v>
      </c>
      <c r="I17" s="14" t="s">
        <v>58</v>
      </c>
      <c r="J17" s="14"/>
      <c r="K17" s="14"/>
      <c r="L17" s="14"/>
      <c r="M17" s="14"/>
      <c r="N17" s="14">
        <v>931569826</v>
      </c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18.75" x14ac:dyDescent="0.3">
      <c r="A18" s="19">
        <v>2</v>
      </c>
      <c r="B18" s="20" t="s">
        <v>59</v>
      </c>
      <c r="C18" s="21">
        <v>912890139</v>
      </c>
      <c r="D18" s="20"/>
      <c r="E18" s="20"/>
      <c r="F18" s="16">
        <v>43260</v>
      </c>
      <c r="G18" s="1">
        <v>3500</v>
      </c>
      <c r="H18" s="16"/>
      <c r="I18" s="20" t="s">
        <v>58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 ht="18.75" x14ac:dyDescent="0.3">
      <c r="A19" s="19">
        <v>3</v>
      </c>
      <c r="B19" s="20" t="s">
        <v>60</v>
      </c>
      <c r="C19" s="21">
        <v>924331264</v>
      </c>
      <c r="D19" s="20"/>
      <c r="E19" s="20"/>
      <c r="F19" s="16">
        <v>43260</v>
      </c>
      <c r="G19" s="1">
        <v>3500</v>
      </c>
      <c r="H19" s="16"/>
      <c r="I19" s="20" t="s">
        <v>61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 ht="18.75" x14ac:dyDescent="0.3">
      <c r="A20" s="19">
        <v>4</v>
      </c>
      <c r="B20" s="20" t="s">
        <v>62</v>
      </c>
      <c r="C20" s="21">
        <f>916892502</f>
        <v>916892502</v>
      </c>
      <c r="D20" s="20"/>
      <c r="E20" s="20"/>
      <c r="F20" s="16">
        <v>43260</v>
      </c>
      <c r="G20" s="1">
        <v>3500</v>
      </c>
      <c r="H20" s="16"/>
      <c r="I20" s="20" t="s">
        <v>58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23" ht="18.75" x14ac:dyDescent="0.3">
      <c r="A21" s="19">
        <v>5</v>
      </c>
      <c r="B21" s="20" t="s">
        <v>63</v>
      </c>
      <c r="C21" s="21">
        <f>922428939</f>
        <v>922428939</v>
      </c>
      <c r="D21" s="20"/>
      <c r="E21" s="20"/>
      <c r="F21" s="16">
        <v>43260</v>
      </c>
      <c r="G21" s="1">
        <v>3500</v>
      </c>
      <c r="H21" s="16"/>
      <c r="I21" s="20" t="s">
        <v>61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 ht="18.75" x14ac:dyDescent="0.3">
      <c r="A22" s="19">
        <v>6</v>
      </c>
      <c r="B22" s="20" t="s">
        <v>64</v>
      </c>
      <c r="C22" s="21">
        <f>926223682</f>
        <v>926223682</v>
      </c>
      <c r="D22" s="20"/>
      <c r="E22" s="20"/>
      <c r="F22" s="16">
        <v>43260</v>
      </c>
      <c r="G22" s="1">
        <v>3500</v>
      </c>
      <c r="H22" s="16"/>
      <c r="I22" s="20" t="s">
        <v>58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ht="18.75" x14ac:dyDescent="0.3">
      <c r="A23" s="19">
        <v>7</v>
      </c>
      <c r="B23" s="20" t="s">
        <v>65</v>
      </c>
      <c r="C23" s="21">
        <f>922867067</f>
        <v>922867067</v>
      </c>
      <c r="D23" s="20"/>
      <c r="E23" s="20"/>
      <c r="F23" s="16">
        <v>43260</v>
      </c>
      <c r="G23" s="1">
        <v>3500</v>
      </c>
      <c r="H23" s="16"/>
      <c r="I23" s="20" t="s">
        <v>58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spans="1:23" ht="18.75" x14ac:dyDescent="0.3">
      <c r="A24" s="22">
        <v>8</v>
      </c>
      <c r="B24" s="20" t="s">
        <v>66</v>
      </c>
      <c r="C24" s="21">
        <f>91649362</f>
        <v>91649362</v>
      </c>
      <c r="D24" s="20"/>
      <c r="E24" s="20"/>
      <c r="F24" s="16">
        <v>43260</v>
      </c>
      <c r="G24" s="1">
        <v>3500</v>
      </c>
      <c r="H24" s="16"/>
      <c r="I24" s="20" t="s">
        <v>61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1:23" ht="18.75" x14ac:dyDescent="0.3">
      <c r="A25" s="20"/>
      <c r="B25" s="45" t="s">
        <v>67</v>
      </c>
      <c r="C25" s="46"/>
      <c r="D25" s="46"/>
      <c r="E25" s="46"/>
      <c r="F25" s="47"/>
      <c r="G25" s="23"/>
      <c r="H25" s="17" t="s">
        <v>57</v>
      </c>
      <c r="I25" s="24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pans="1:23" s="28" customFormat="1" ht="18.75" x14ac:dyDescent="0.3">
      <c r="A26" s="25">
        <v>1</v>
      </c>
      <c r="B26" s="26" t="s">
        <v>68</v>
      </c>
      <c r="C26" s="26"/>
      <c r="D26" s="26" t="s">
        <v>69</v>
      </c>
      <c r="E26" s="26" t="s">
        <v>70</v>
      </c>
      <c r="F26" s="27">
        <v>43199</v>
      </c>
      <c r="G26" s="1">
        <v>5000</v>
      </c>
      <c r="H26" s="27"/>
      <c r="I26" s="26" t="s">
        <v>58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spans="1:23" ht="18.75" x14ac:dyDescent="0.3">
      <c r="A27" s="19">
        <v>2</v>
      </c>
      <c r="B27" s="20" t="s">
        <v>71</v>
      </c>
      <c r="C27" s="20"/>
      <c r="D27" s="20" t="s">
        <v>72</v>
      </c>
      <c r="E27" s="20"/>
      <c r="F27" s="27">
        <v>43199</v>
      </c>
      <c r="G27" s="1">
        <v>3500</v>
      </c>
      <c r="H27" s="27"/>
      <c r="I27" s="20" t="s">
        <v>61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spans="1:23" ht="18.75" x14ac:dyDescent="0.3">
      <c r="A28" s="19">
        <v>3</v>
      </c>
      <c r="B28" s="20" t="s">
        <v>73</v>
      </c>
      <c r="C28" s="20"/>
      <c r="D28" s="20" t="s">
        <v>74</v>
      </c>
      <c r="E28" s="20"/>
      <c r="F28" s="27">
        <v>43199</v>
      </c>
      <c r="G28" s="1">
        <v>3500</v>
      </c>
      <c r="H28" s="27"/>
      <c r="I28" s="20" t="s">
        <v>58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spans="1:23" ht="18.75" x14ac:dyDescent="0.3">
      <c r="A29" s="19">
        <v>4</v>
      </c>
      <c r="B29" s="20" t="s">
        <v>75</v>
      </c>
      <c r="C29" s="20"/>
      <c r="D29" s="20" t="s">
        <v>76</v>
      </c>
      <c r="E29" s="20"/>
      <c r="F29" s="27">
        <v>43199</v>
      </c>
      <c r="G29" s="1">
        <v>3500</v>
      </c>
      <c r="H29" s="27"/>
      <c r="I29" s="20" t="s">
        <v>58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spans="1:23" ht="18.75" x14ac:dyDescent="0.3">
      <c r="A30" s="19">
        <v>5</v>
      </c>
      <c r="B30" s="20" t="s">
        <v>77</v>
      </c>
      <c r="C30" s="20"/>
      <c r="D30" s="20" t="s">
        <v>78</v>
      </c>
      <c r="E30" s="20"/>
      <c r="F30" s="27">
        <v>43199</v>
      </c>
      <c r="G30" s="1">
        <v>3500</v>
      </c>
      <c r="H30" s="27"/>
      <c r="I30" s="20" t="s">
        <v>58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spans="1:23" ht="18.75" x14ac:dyDescent="0.3">
      <c r="A31" s="19">
        <v>6</v>
      </c>
      <c r="B31" s="20" t="s">
        <v>79</v>
      </c>
      <c r="C31" s="20"/>
      <c r="D31" s="20" t="s">
        <v>80</v>
      </c>
      <c r="E31" s="20"/>
      <c r="F31" s="27">
        <v>43199</v>
      </c>
      <c r="G31" s="1">
        <v>3500</v>
      </c>
      <c r="H31" s="27"/>
      <c r="I31" s="20" t="s">
        <v>61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spans="1:23" ht="18.75" x14ac:dyDescent="0.3">
      <c r="A32" s="19">
        <v>7</v>
      </c>
      <c r="B32" s="20" t="s">
        <v>81</v>
      </c>
      <c r="C32" s="20"/>
      <c r="D32" s="20" t="s">
        <v>82</v>
      </c>
      <c r="E32" s="20"/>
      <c r="F32" s="27">
        <v>43199</v>
      </c>
      <c r="G32" s="1">
        <v>3500</v>
      </c>
      <c r="H32" s="27"/>
      <c r="I32" s="20" t="s">
        <v>61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1:23" ht="18.75" x14ac:dyDescent="0.3">
      <c r="A33" s="20"/>
      <c r="B33" s="12"/>
      <c r="C33" s="29"/>
      <c r="D33" s="9" t="s">
        <v>83</v>
      </c>
      <c r="E33" s="29"/>
      <c r="F33" s="29"/>
      <c r="G33" s="29"/>
      <c r="J33" s="3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:23" s="28" customFormat="1" ht="30.75" x14ac:dyDescent="0.3">
      <c r="A34" s="19">
        <v>1</v>
      </c>
      <c r="B34" s="26" t="s">
        <v>84</v>
      </c>
      <c r="C34" s="25">
        <v>936539856</v>
      </c>
      <c r="D34" s="26" t="s">
        <v>85</v>
      </c>
      <c r="E34" s="31" t="s">
        <v>86</v>
      </c>
      <c r="F34" s="27">
        <v>43229</v>
      </c>
      <c r="G34" s="1">
        <v>5000</v>
      </c>
      <c r="H34" s="32" t="s">
        <v>87</v>
      </c>
      <c r="I34" s="32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</row>
    <row r="35" spans="1:23" ht="18.75" x14ac:dyDescent="0.3">
      <c r="A35" s="19">
        <v>2</v>
      </c>
      <c r="B35" s="20" t="s">
        <v>88</v>
      </c>
      <c r="C35" s="22">
        <v>945492927</v>
      </c>
      <c r="D35" s="20" t="s">
        <v>89</v>
      </c>
      <c r="E35" s="20"/>
      <c r="F35" s="16">
        <v>43229</v>
      </c>
      <c r="G35" s="1">
        <v>3500</v>
      </c>
      <c r="H35" s="16"/>
      <c r="I35" s="20" t="s">
        <v>61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pans="1:23" ht="18.75" x14ac:dyDescent="0.3">
      <c r="A36" s="19">
        <v>3</v>
      </c>
      <c r="B36" s="20" t="s">
        <v>90</v>
      </c>
      <c r="C36" s="22">
        <v>934791466</v>
      </c>
      <c r="D36" s="20" t="s">
        <v>91</v>
      </c>
      <c r="E36" s="20"/>
      <c r="F36" s="16">
        <v>43229</v>
      </c>
      <c r="G36" s="1">
        <v>3500</v>
      </c>
      <c r="H36" s="16"/>
      <c r="I36" s="20" t="s">
        <v>61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 ht="18.75" x14ac:dyDescent="0.3">
      <c r="A37" s="19">
        <v>4</v>
      </c>
      <c r="B37" s="20" t="s">
        <v>92</v>
      </c>
      <c r="C37" s="22">
        <v>934083697</v>
      </c>
      <c r="D37" s="20" t="s">
        <v>93</v>
      </c>
      <c r="E37" s="20"/>
      <c r="F37" s="16">
        <v>43229</v>
      </c>
      <c r="G37" s="1">
        <v>3500</v>
      </c>
      <c r="H37" s="16"/>
      <c r="I37" s="20" t="s">
        <v>61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spans="1:23" ht="18.75" x14ac:dyDescent="0.3">
      <c r="A38" s="19">
        <v>5</v>
      </c>
      <c r="B38" s="20" t="s">
        <v>94</v>
      </c>
      <c r="C38" s="22">
        <v>995304175</v>
      </c>
      <c r="D38" s="20" t="s">
        <v>95</v>
      </c>
      <c r="E38" s="20"/>
      <c r="F38" s="16">
        <v>43229</v>
      </c>
      <c r="G38" s="1">
        <v>3500</v>
      </c>
      <c r="H38" s="16"/>
      <c r="I38" s="20" t="s">
        <v>61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 ht="18.75" x14ac:dyDescent="0.3">
      <c r="A39" s="19">
        <v>6</v>
      </c>
      <c r="B39" s="20" t="s">
        <v>96</v>
      </c>
      <c r="C39" s="33">
        <v>986970321</v>
      </c>
      <c r="D39" s="34" t="s">
        <v>91</v>
      </c>
      <c r="E39" s="34"/>
      <c r="F39" s="16">
        <v>43229</v>
      </c>
      <c r="G39" s="1">
        <v>3500</v>
      </c>
      <c r="H39" s="35"/>
      <c r="I39" s="34" t="s">
        <v>61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</row>
    <row r="40" spans="1:23" s="20" customFormat="1" ht="18.75" x14ac:dyDescent="0.3">
      <c r="A40" s="19">
        <v>7</v>
      </c>
      <c r="B40" s="20" t="s">
        <v>97</v>
      </c>
      <c r="C40" s="22">
        <v>900993836</v>
      </c>
      <c r="D40" s="20" t="s">
        <v>98</v>
      </c>
      <c r="F40" s="16">
        <v>43229</v>
      </c>
      <c r="G40" s="1">
        <v>3500</v>
      </c>
      <c r="H40" s="16"/>
      <c r="I40" s="20" t="s">
        <v>61</v>
      </c>
    </row>
    <row r="41" spans="1:23" s="34" customFormat="1" ht="18.75" x14ac:dyDescent="0.3">
      <c r="B41" s="48" t="s">
        <v>99</v>
      </c>
      <c r="C41" s="49"/>
      <c r="D41" s="49"/>
      <c r="E41" s="49"/>
      <c r="F41" s="49"/>
      <c r="G41" s="49"/>
      <c r="H41" s="49"/>
      <c r="I41" s="49"/>
      <c r="J41" s="50"/>
    </row>
    <row r="42" spans="1:23" s="36" customFormat="1" ht="18.75" x14ac:dyDescent="0.3">
      <c r="A42" s="19">
        <v>1</v>
      </c>
      <c r="B42" s="36" t="s">
        <v>100</v>
      </c>
      <c r="C42" s="37">
        <v>916182691</v>
      </c>
      <c r="D42" s="36" t="s">
        <v>101</v>
      </c>
      <c r="E42" s="20" t="s">
        <v>102</v>
      </c>
      <c r="F42" s="20"/>
      <c r="G42" s="1">
        <v>5000</v>
      </c>
      <c r="H42" s="20"/>
      <c r="I42" s="36" t="s">
        <v>58</v>
      </c>
      <c r="K42" s="38"/>
    </row>
    <row r="43" spans="1:23" s="24" customFormat="1" ht="18.75" x14ac:dyDescent="0.3">
      <c r="A43" s="19">
        <v>2</v>
      </c>
      <c r="B43" s="20" t="s">
        <v>103</v>
      </c>
      <c r="C43" s="20"/>
      <c r="D43" s="20" t="s">
        <v>104</v>
      </c>
      <c r="E43" s="20"/>
      <c r="F43" s="16">
        <v>43168</v>
      </c>
      <c r="G43" s="1">
        <v>3500</v>
      </c>
      <c r="H43" s="16"/>
      <c r="I43" s="20" t="s">
        <v>58</v>
      </c>
      <c r="J43" s="20"/>
      <c r="K43" s="39"/>
    </row>
    <row r="44" spans="1:23" s="20" customFormat="1" ht="18.75" x14ac:dyDescent="0.3">
      <c r="A44" s="19">
        <v>3</v>
      </c>
      <c r="B44" s="20" t="s">
        <v>105</v>
      </c>
      <c r="D44" s="20" t="s">
        <v>106</v>
      </c>
      <c r="F44" s="16">
        <v>43168</v>
      </c>
      <c r="G44" s="1">
        <v>3500</v>
      </c>
      <c r="I44" s="20" t="s">
        <v>58</v>
      </c>
      <c r="K44" s="40"/>
    </row>
    <row r="45" spans="1:23" s="20" customFormat="1" ht="18.75" x14ac:dyDescent="0.3">
      <c r="A45" s="19">
        <v>4</v>
      </c>
      <c r="B45" s="20" t="s">
        <v>107</v>
      </c>
      <c r="D45" s="20" t="s">
        <v>108</v>
      </c>
      <c r="F45" s="16">
        <v>43168</v>
      </c>
      <c r="G45" s="1">
        <v>3500</v>
      </c>
      <c r="I45" s="20" t="s">
        <v>58</v>
      </c>
      <c r="K45" s="40"/>
    </row>
    <row r="46" spans="1:23" s="20" customFormat="1" ht="18.75" x14ac:dyDescent="0.3">
      <c r="A46" s="19">
        <v>5</v>
      </c>
      <c r="B46" s="20" t="s">
        <v>109</v>
      </c>
      <c r="D46" s="20" t="s">
        <v>110</v>
      </c>
      <c r="F46" s="16">
        <v>43168</v>
      </c>
      <c r="G46" s="1">
        <v>3500</v>
      </c>
      <c r="I46" s="20" t="s">
        <v>58</v>
      </c>
      <c r="K46" s="40"/>
    </row>
    <row r="47" spans="1:23" s="20" customFormat="1" ht="18.75" x14ac:dyDescent="0.3">
      <c r="A47" s="22">
        <v>6</v>
      </c>
      <c r="B47" s="20" t="s">
        <v>111</v>
      </c>
      <c r="D47" s="20" t="s">
        <v>112</v>
      </c>
      <c r="F47" s="16">
        <v>43168</v>
      </c>
      <c r="G47" s="1">
        <v>3500</v>
      </c>
      <c r="I47" s="20" t="s">
        <v>61</v>
      </c>
      <c r="K47" s="40"/>
    </row>
    <row r="48" spans="1:23" s="20" customFormat="1" x14ac:dyDescent="0.25">
      <c r="A48" s="41"/>
      <c r="B48" s="41" t="s">
        <v>113</v>
      </c>
      <c r="C48" s="41"/>
      <c r="E48" s="20" t="s">
        <v>114</v>
      </c>
      <c r="F48" s="26"/>
      <c r="I48" s="20" t="s">
        <v>61</v>
      </c>
    </row>
    <row r="49" spans="1:9" s="20" customFormat="1" x14ac:dyDescent="0.25">
      <c r="A49" s="41"/>
      <c r="B49" s="41" t="s">
        <v>115</v>
      </c>
      <c r="C49" s="41"/>
      <c r="F49" s="26"/>
      <c r="I49" s="20" t="s">
        <v>61</v>
      </c>
    </row>
    <row r="50" spans="1:9" s="20" customFormat="1" x14ac:dyDescent="0.25">
      <c r="B50" s="26" t="s">
        <v>116</v>
      </c>
      <c r="C50" s="42"/>
    </row>
    <row r="51" spans="1:9" s="20" customFormat="1" x14ac:dyDescent="0.25">
      <c r="B51" s="42" t="s">
        <v>117</v>
      </c>
      <c r="C51" s="43">
        <v>924253357</v>
      </c>
      <c r="E51" s="20" t="s">
        <v>118</v>
      </c>
      <c r="I51" s="20" t="s">
        <v>58</v>
      </c>
    </row>
    <row r="52" spans="1:9" s="20" customFormat="1" x14ac:dyDescent="0.25">
      <c r="B52" s="42" t="s">
        <v>114</v>
      </c>
      <c r="C52" s="42"/>
    </row>
    <row r="53" spans="1:9" x14ac:dyDescent="0.25">
      <c r="B53" s="44" t="s">
        <v>119</v>
      </c>
    </row>
    <row r="54" spans="1:9" x14ac:dyDescent="0.25">
      <c r="B54" t="s">
        <v>120</v>
      </c>
      <c r="C54">
        <v>912326119</v>
      </c>
    </row>
  </sheetData>
  <mergeCells count="20">
    <mergeCell ref="A1:A2"/>
    <mergeCell ref="B1:B2"/>
    <mergeCell ref="C1:C2"/>
    <mergeCell ref="D1:D2"/>
    <mergeCell ref="E1:E2"/>
    <mergeCell ref="V1:V2"/>
    <mergeCell ref="W1:W2"/>
    <mergeCell ref="B16:F16"/>
    <mergeCell ref="I1:I2"/>
    <mergeCell ref="J1:J2"/>
    <mergeCell ref="K1:K2"/>
    <mergeCell ref="L1:L2"/>
    <mergeCell ref="M1:M2"/>
    <mergeCell ref="N1:N2"/>
    <mergeCell ref="G1:G2"/>
    <mergeCell ref="B25:F25"/>
    <mergeCell ref="B41:J41"/>
    <mergeCell ref="O1:P1"/>
    <mergeCell ref="T1:T2"/>
    <mergeCell ref="U1:U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correction for june mon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BS_Tech</cp:lastModifiedBy>
  <dcterms:created xsi:type="dcterms:W3CDTF">2026-06-25T11:25:49Z</dcterms:created>
  <dcterms:modified xsi:type="dcterms:W3CDTF">2026-06-28T22:23:42Z</dcterms:modified>
</cp:coreProperties>
</file>